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66d5fba377f5b07/Документы/Узел_Смешивания/"/>
    </mc:Choice>
  </mc:AlternateContent>
  <xr:revisionPtr revIDLastSave="4" documentId="11_29B51292DFAB1D5BAF82EC82270E7EFCBEBD08B5" xr6:coauthVersionLast="47" xr6:coauthVersionMax="47" xr10:uidLastSave="{FDD6CD19-8B33-4D54-BBD4-4A51EBD58416}"/>
  <bookViews>
    <workbookView xWindow="-108" yWindow="-108" windowWidth="23256" windowHeight="12456" xr2:uid="{00000000-000D-0000-FFFF-FFFF00000000}"/>
  </bookViews>
  <sheets>
    <sheet name="TD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5" i="1" l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</calcChain>
</file>

<file path=xl/sharedStrings.xml><?xml version="1.0" encoding="utf-8"?>
<sst xmlns="http://schemas.openxmlformats.org/spreadsheetml/2006/main" count="247" uniqueCount="103">
  <si>
    <t>Ведомость по партиям товаров на складах (бухгалтерский учет)</t>
  </si>
  <si>
    <t>Період: 10.06.2026 - 16.06.2026</t>
  </si>
  <si>
    <t>Показники: Конечный остаток(Количество, Стоимость);</t>
  </si>
  <si>
    <t>Групування рядків: Склад (Елементи); Номенклатура.Группа (Ієрархія);</t>
  </si>
  <si>
    <t>Відбори:
Склад В списку (СКЛАД (ЗЧ резерв) Хриплин...; СКЛАД (ЗЧ С/Г) Глиняни, В...; СКЛАД (ЗЧ С/Г) Хриплин,Ів...; СКЛАД (ЗЧ С/Г 2) Хриплин,...; СКЛАД (ЗЧ С/Г 2) Глиняни,...; СКЛАД (ЗЗР) Братківці,Іва...; СКЛАД (МД, ЗЗР, насіння) ...; СКЛАД (МД,ЗЗР,насіння) Ля...; СКЛАД (МД,ЗЗР,насіння) От...; СКЛАД (МД,ЗЗР,насіння) Ро...;...);</t>
  </si>
  <si>
    <t>Додаткові поля:
Номенклатура (Разом із вимірами, После группировки);
Номенклатура.Артикул (Окремо, После группировки);
Номенклатура.Группа (Окремо, После группировки);
Номенклатура.Базова одиниця виміру (Разом, После группировки);</t>
  </si>
  <si>
    <t>Склад</t>
  </si>
  <si>
    <t>Конечный остаток</t>
  </si>
  <si>
    <t>Номенклатура.Группа</t>
  </si>
  <si>
    <t>Группа</t>
  </si>
  <si>
    <t>Количество</t>
  </si>
  <si>
    <t>Стоимость</t>
  </si>
  <si>
    <t>Номенклатура</t>
  </si>
  <si>
    <t>Артикул</t>
  </si>
  <si>
    <t>Базова одиниця виміру</t>
  </si>
  <si>
    <t>СКЛАД (МД, ЗЗР, насіння) Глиняни,Львівський виробничий підрозділ</t>
  </si>
  <si>
    <t>204.ТАРА І ТАРНІ МАТЕРІАЛИ</t>
  </si>
  <si>
    <t>Піддон 1200х1000</t>
  </si>
  <si>
    <t>шт</t>
  </si>
  <si>
    <t>208.МАТЕРІАЛИ СГ ПРИЗНАЧЕННЯ</t>
  </si>
  <si>
    <t>ДОБРИВА</t>
  </si>
  <si>
    <t>Азотні добрива</t>
  </si>
  <si>
    <t>Карбамід 46%</t>
  </si>
  <si>
    <t>кг</t>
  </si>
  <si>
    <t>Комплексні добрива</t>
  </si>
  <si>
    <t>Мінеральні добрива Fertilibero NPK 8-24-24</t>
  </si>
  <si>
    <t>т</t>
  </si>
  <si>
    <t>Макро добрива</t>
  </si>
  <si>
    <t>Магній сірчанокислий</t>
  </si>
  <si>
    <t>Калій хлористий гранульований</t>
  </si>
  <si>
    <t>Мікродобрива</t>
  </si>
  <si>
    <t>НАЙС Бор, 20 л</t>
  </si>
  <si>
    <t>л</t>
  </si>
  <si>
    <t>БОР 150 (ЛУЖНИЙ) Добриво РК (МОНО БОР) 1 л.</t>
  </si>
  <si>
    <t>Найс Цинк</t>
  </si>
  <si>
    <t>АМІНО ІКС Регулятор росту рослин РК ("ГОУ АП")</t>
  </si>
  <si>
    <t>ЛФ-20 Гумат калію натрію з мікроелементами, р,органо-мінеральне добриво , 1 л</t>
  </si>
  <si>
    <t>Нандо Біо Експерт (Nando BioExpert) 5 кг</t>
  </si>
  <si>
    <t>Технічні</t>
  </si>
  <si>
    <t>Графіто-талькова суміш</t>
  </si>
  <si>
    <t>Графіто-талькова суміш у відрах по 10 кг</t>
  </si>
  <si>
    <t>ЗЗР</t>
  </si>
  <si>
    <t>АКАРАЦИДИ</t>
  </si>
  <si>
    <t>Іл-Стар КС</t>
  </si>
  <si>
    <t>Тіаклотрин-М (каністра 5л)</t>
  </si>
  <si>
    <t>ГЕРБІЦИДИ</t>
  </si>
  <si>
    <t>Платинум Стар</t>
  </si>
  <si>
    <t>Кайман, 5 л</t>
  </si>
  <si>
    <t>Пікадор, РК (20л)</t>
  </si>
  <si>
    <t>ЕКВІНОКС, КС (5л)</t>
  </si>
  <si>
    <t>Сойгард Голд РК 20л(гербіцид)</t>
  </si>
  <si>
    <t>Флумет 500г/1л флакон з мірним стаканчиком</t>
  </si>
  <si>
    <t>Гербіцид Тефуріцид 600</t>
  </si>
  <si>
    <t>Д-Камба РК 10л(гербіцид)</t>
  </si>
  <si>
    <t>Ніколь-стар</t>
  </si>
  <si>
    <t>Ацифен (каністра 20 л)</t>
  </si>
  <si>
    <t>Флейм ВГ 0.5кг(гербіцид)</t>
  </si>
  <si>
    <t>Olimp</t>
  </si>
  <si>
    <t>Клодекс ПРО (каністра 5л)</t>
  </si>
  <si>
    <t>3114</t>
  </si>
  <si>
    <t>Пантеон ВГ 0,5кг (гербіцид) (Код УКТ ЗЕД:3808 93 23 00)</t>
  </si>
  <si>
    <t>Альфа-Бентазон, 20 л</t>
  </si>
  <si>
    <t>Оріон-250г/500мл флакон</t>
  </si>
  <si>
    <t>Дікогерб Супер, РК</t>
  </si>
  <si>
    <t>Гербіцид SMT-СТАР, КС</t>
  </si>
  <si>
    <t>ПРИЛИПАЧІ</t>
  </si>
  <si>
    <t>Піностоп 1л</t>
  </si>
  <si>
    <t>ТУРБОЛИП БІОприлипач Ад'ювант на органосиліконовій основі 1 л.</t>
  </si>
  <si>
    <t>Глайдер, 5 л</t>
  </si>
  <si>
    <t>Ад'ювант Spread Oil 20 л</t>
  </si>
  <si>
    <t>РЕГУЛЯТОРИ</t>
  </si>
  <si>
    <t>Аквареді 5 л</t>
  </si>
  <si>
    <t>Піностоп</t>
  </si>
  <si>
    <t>Нор Ест Лайн Аква ph10л канстра</t>
  </si>
  <si>
    <t>ФУНГІЦИДИ</t>
  </si>
  <si>
    <t>Вартіс (каністра 5л)</t>
  </si>
  <si>
    <t>Пріланко, 5 л</t>
  </si>
  <si>
    <t>НАСІННЯ (покупне)</t>
  </si>
  <si>
    <t>НАСІННЯ ІНШИХ КУЛЬТУР</t>
  </si>
  <si>
    <t>Сочевиця червона</t>
  </si>
  <si>
    <t>Вика яра</t>
  </si>
  <si>
    <t>Пелюшка</t>
  </si>
  <si>
    <t>Боби кінські</t>
  </si>
  <si>
    <t>Гірчиця біла</t>
  </si>
  <si>
    <t>209.ІНШІ МАТЕРІАЛИ</t>
  </si>
  <si>
    <t>Адміністративно-господарські та витратні матеріали</t>
  </si>
  <si>
    <t>Олл Брайт 5л</t>
  </si>
  <si>
    <t>27.ГОТОВА ПРОДУКЦІЯ</t>
  </si>
  <si>
    <t>КУКУРУДЗА</t>
  </si>
  <si>
    <t>КУКУРУДЗА, врожаю 2025</t>
  </si>
  <si>
    <t>Кукурудза КС95ХР, Ф2.2, прот.,2025 р.</t>
  </si>
  <si>
    <t>Кукурудза КС95ХР, Ф1.1, прот.,2025 р.</t>
  </si>
  <si>
    <t>СОЯ</t>
  </si>
  <si>
    <t>СОЯ, врожаю 2025</t>
  </si>
  <si>
    <t>Соя, калібрована, очищена, фасована в біг-бег 1000 кг, врожаю 2025 р., протравлена</t>
  </si>
  <si>
    <t>Расчет для узла смешивания</t>
  </si>
  <si>
    <t>Плотность</t>
  </si>
  <si>
    <t>Масса</t>
  </si>
  <si>
    <t>Статус</t>
  </si>
  <si>
    <t>кг/л</t>
  </si>
  <si>
    <t>Источник</t>
  </si>
  <si>
    <t>Не требуется</t>
  </si>
  <si>
    <t>Ориентировочно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</si>
</sst>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;[Red]\-0.000"/>
    <numFmt numFmtId="165" formatCode="#,##0.000;[Red]\-#,##0.000"/>
    <numFmt numFmtId="166" formatCode="0.000"/>
  </numFmts>
  <fonts count="8" x14ac:knownFonts="1">
    <font>
      <sz val="8"/>
      <name val="Arial"/>
    </font>
    <font>
      <sz val="8"/>
      <name val="Arial"/>
      <family val="2"/>
      <charset val="204"/>
    </font>
    <font>
      <b/>
      <sz val="12"/>
      <name val="Arial"/>
      <family val="2"/>
      <charset val="204"/>
    </font>
    <font>
      <b/>
      <sz val="8"/>
      <color rgb="FF594304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rgb="FFFFFFFF"/>
      <name val="Arial"/>
      <family val="2"/>
      <charset val="204"/>
    </font>
    <font>
      <b/>
      <sz val="8"/>
      <color rgb="FF1F2937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5F2DD"/>
      </patternFill>
    </fill>
    <fill>
      <patternFill patternType="solid">
        <fgColor rgb="FFFFFFFF"/>
      </patternFill>
    </fill>
    <fill>
      <patternFill patternType="solid">
        <fgColor rgb="FF1F4E79"/>
      </patternFill>
    </fill>
    <fill>
      <patternFill patternType="solid">
        <fgColor rgb="FFD9EAF7"/>
      </patternFill>
    </fill>
  </fills>
  <borders count="6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 style="thin">
        <color rgb="FFB3AC86"/>
      </right>
      <top/>
      <bottom style="thin">
        <color rgb="FFB3AC86"/>
      </bottom>
      <diagonal/>
    </border>
    <border>
      <left style="thin">
        <color rgb="FFB3AC86"/>
      </left>
      <right style="thin">
        <color rgb="FFB3AC86"/>
      </right>
      <top style="thin">
        <color rgb="FFB3AC86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40" fontId="3" fillId="2" borderId="1" xfId="0" applyNumberFormat="1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left" vertical="top" wrapText="1"/>
    </xf>
    <xf numFmtId="164" fontId="4" fillId="3" borderId="1" xfId="0" applyNumberFormat="1" applyFont="1" applyFill="1" applyBorder="1" applyAlignment="1">
      <alignment horizontal="right" vertical="top" wrapText="1"/>
    </xf>
    <xf numFmtId="40" fontId="4" fillId="3" borderId="1" xfId="0" applyNumberFormat="1" applyFont="1" applyFill="1" applyBorder="1" applyAlignment="1">
      <alignment horizontal="right" vertical="top" wrapText="1"/>
    </xf>
    <xf numFmtId="0" fontId="5" fillId="3" borderId="1" xfId="0" applyFont="1" applyFill="1" applyBorder="1" applyAlignment="1">
      <alignment horizontal="left" vertical="top" wrapText="1"/>
    </xf>
    <xf numFmtId="164" fontId="5" fillId="3" borderId="1" xfId="0" applyNumberFormat="1" applyFont="1" applyFill="1" applyBorder="1" applyAlignment="1">
      <alignment horizontal="right" vertical="top" wrapText="1"/>
    </xf>
    <xf numFmtId="40" fontId="5" fillId="3" borderId="1" xfId="0" applyNumberFormat="1" applyFont="1" applyFill="1" applyBorder="1" applyAlignment="1">
      <alignment horizontal="right" vertical="top" wrapText="1"/>
    </xf>
    <xf numFmtId="165" fontId="3" fillId="2" borderId="1" xfId="0" applyNumberFormat="1" applyFont="1" applyFill="1" applyBorder="1" applyAlignment="1">
      <alignment horizontal="right" vertical="top" wrapText="1"/>
    </xf>
    <xf numFmtId="0" fontId="5" fillId="3" borderId="1" xfId="0" applyFont="1" applyFill="1" applyBorder="1" applyAlignment="1">
      <alignment horizontal="right" vertical="top" wrapText="1"/>
    </xf>
    <xf numFmtId="165" fontId="4" fillId="3" borderId="1" xfId="0" applyNumberFormat="1" applyFont="1" applyFill="1" applyBorder="1" applyAlignment="1">
      <alignment horizontal="right" vertical="top" wrapText="1"/>
    </xf>
    <xf numFmtId="165" fontId="5" fillId="3" borderId="1" xfId="0" applyNumberFormat="1" applyFont="1" applyFill="1" applyBorder="1" applyAlignment="1">
      <alignment horizontal="right" vertical="top" wrapText="1"/>
    </xf>
    <xf numFmtId="0" fontId="6" fillId="4" borderId="4" xfId="0" applyFont="1" applyFill="1" applyBorder="1" applyAlignment="1">
      <alignment wrapText="1"/>
    </xf>
    <xf numFmtId="166" fontId="0" fillId="0" borderId="5" xfId="0" applyNumberFormat="1" applyBorder="1"/>
    <xf numFmtId="0" fontId="0" fillId="0" borderId="5" xfId="0" applyBorder="1" applyAlignment="1">
      <alignment wrapText="1"/>
    </xf>
    <xf numFmtId="0" fontId="7" fillId="5" borderId="1" xfId="0" applyFont="1" applyFill="1" applyBorder="1" applyAlignment="1">
      <alignment horizontal="left" vertical="top" wrapText="1"/>
    </xf>
    <xf numFmtId="0" fontId="7" fillId="5" borderId="4" xfId="0" applyFont="1" applyFill="1" applyBorder="1" applyAlignment="1">
      <alignment wrapText="1"/>
    </xf>
    <xf numFmtId="0" fontId="7" fillId="5" borderId="0" xfId="0" applyFont="1" applyFill="1" applyAlignment="1">
      <alignment wrapText="1"/>
    </xf>
    <xf numFmtId="0" fontId="1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7" fillId="5" borderId="2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6"/>
  <sheetViews>
    <sheetView tabSelected="1" topLeftCell="A10" workbookViewId="0">
      <selection activeCell="I79" sqref="I79"/>
    </sheetView>
  </sheetViews>
  <sheetFormatPr defaultColWidth="10.42578125" defaultRowHeight="10.199999999999999" x14ac:dyDescent="0.2"/>
  <cols>
    <col min="1" max="1" width="2.28515625" style="1" customWidth="1"/>
    <col min="2" max="2" width="76.85546875" style="1" customWidth="1"/>
    <col min="3" max="3" width="47.7109375" customWidth="1"/>
    <col min="4" max="4" width="21.7109375" style="1" customWidth="1"/>
    <col min="5" max="5" width="16.85546875" customWidth="1"/>
    <col min="6" max="6" width="17.85546875" customWidth="1"/>
    <col min="7" max="7" width="26.42578125" customWidth="1"/>
    <col min="8" max="8" width="15.85546875" customWidth="1"/>
    <col min="9" max="9" width="14.7109375" customWidth="1"/>
  </cols>
  <sheetData>
    <row r="1" spans="1:16" s="1" customFormat="1" ht="15.6" x14ac:dyDescent="0.2">
      <c r="B1" s="2" t="s">
        <v>0</v>
      </c>
    </row>
    <row r="2" spans="1:16" s="1" customFormat="1" x14ac:dyDescent="0.2">
      <c r="B2" s="3" t="s">
        <v>1</v>
      </c>
    </row>
    <row r="3" spans="1:16" s="1" customFormat="1" x14ac:dyDescent="0.2">
      <c r="B3" s="3" t="s">
        <v>2</v>
      </c>
    </row>
    <row r="4" spans="1:16" s="1" customFormat="1" x14ac:dyDescent="0.2">
      <c r="B4" s="3" t="s">
        <v>3</v>
      </c>
    </row>
    <row r="5" spans="1:16" s="1" customFormat="1" x14ac:dyDescent="0.2">
      <c r="B5" s="23" t="s">
        <v>4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 s="1" customFormat="1" x14ac:dyDescent="0.2">
      <c r="B6" s="23" t="s">
        <v>5</v>
      </c>
      <c r="C6" s="23"/>
      <c r="D6" s="23"/>
      <c r="E6" s="23"/>
      <c r="F6" s="23"/>
    </row>
    <row r="8" spans="1:16" ht="20.399999999999999" x14ac:dyDescent="0.2">
      <c r="B8" s="4" t="s">
        <v>6</v>
      </c>
      <c r="C8" s="5"/>
      <c r="D8" s="5"/>
      <c r="E8" s="24" t="s">
        <v>7</v>
      </c>
      <c r="F8" s="24"/>
      <c r="G8" s="17" t="s">
        <v>95</v>
      </c>
      <c r="H8" s="17"/>
      <c r="I8" s="17"/>
    </row>
    <row r="9" spans="1:16" x14ac:dyDescent="0.2">
      <c r="B9" s="4" t="s">
        <v>8</v>
      </c>
      <c r="C9" s="4" t="s">
        <v>9</v>
      </c>
      <c r="D9" s="5"/>
      <c r="E9" s="25" t="s">
        <v>10</v>
      </c>
      <c r="F9" s="25" t="s">
        <v>11</v>
      </c>
      <c r="G9" s="17" t="s">
        <v>96</v>
      </c>
      <c r="H9" s="17" t="s">
        <v>97</v>
      </c>
      <c r="I9" s="17" t="s">
        <v>98</v>
      </c>
    </row>
    <row r="10" spans="1:16" ht="20.399999999999999" x14ac:dyDescent="0.2">
      <c r="A10" s="22"/>
      <c r="B10" s="20" t="s">
        <v>12</v>
      </c>
      <c r="C10" s="20" t="s">
        <v>13</v>
      </c>
      <c r="D10" s="20" t="s">
        <v>14</v>
      </c>
      <c r="E10" s="26"/>
      <c r="F10" s="26"/>
      <c r="G10" s="21" t="s">
        <v>99</v>
      </c>
      <c r="H10" s="21" t="s">
        <v>23</v>
      </c>
      <c r="I10" s="21" t="s">
        <v>100</v>
      </c>
    </row>
    <row r="11" spans="1:16" x14ac:dyDescent="0.2">
      <c r="B11" s="4" t="s">
        <v>15</v>
      </c>
      <c r="C11" s="4"/>
      <c r="D11" s="4"/>
      <c r="E11" s="13">
        <v>213241.3</v>
      </c>
      <c r="F11" s="6">
        <v>20202026.25</v>
      </c>
      <c r="G11" s="18"/>
      <c r="H11" s="18" t="str">
        <f t="shared" ref="H11:H42" si="0">IF(D11="л",IF(G11&lt;&gt;"",E11*G11,""),IF(D11="кг",E11,IF(D11="т",E11*1000,"")))</f>
        <v/>
      </c>
      <c r="I11" s="19" t="s">
        <v>101</v>
      </c>
    </row>
    <row r="12" spans="1:16" s="1" customFormat="1" x14ac:dyDescent="0.2">
      <c r="B12" s="7" t="s">
        <v>16</v>
      </c>
      <c r="C12" s="7" t="s">
        <v>16</v>
      </c>
      <c r="D12" s="7"/>
      <c r="E12" s="8">
        <v>300</v>
      </c>
      <c r="F12" s="9">
        <v>85500</v>
      </c>
      <c r="G12" s="18"/>
      <c r="H12" s="18" t="str">
        <f t="shared" si="0"/>
        <v/>
      </c>
      <c r="I12" s="19" t="s">
        <v>101</v>
      </c>
    </row>
    <row r="13" spans="1:16" s="1" customFormat="1" x14ac:dyDescent="0.2">
      <c r="B13" s="10" t="s">
        <v>17</v>
      </c>
      <c r="C13" s="10"/>
      <c r="D13" s="10" t="s">
        <v>18</v>
      </c>
      <c r="E13" s="11">
        <v>300</v>
      </c>
      <c r="F13" s="12">
        <v>85500</v>
      </c>
      <c r="G13" s="18"/>
      <c r="H13" s="18" t="str">
        <f t="shared" si="0"/>
        <v/>
      </c>
      <c r="I13" s="19" t="s">
        <v>101</v>
      </c>
    </row>
    <row r="14" spans="1:16" s="1" customFormat="1" x14ac:dyDescent="0.2">
      <c r="B14" s="7" t="s">
        <v>19</v>
      </c>
      <c r="C14" s="7" t="s">
        <v>19</v>
      </c>
      <c r="D14" s="7"/>
      <c r="E14" s="15">
        <v>204246.3</v>
      </c>
      <c r="F14" s="9">
        <v>19738897.850000001</v>
      </c>
      <c r="G14" s="18"/>
      <c r="H14" s="18" t="str">
        <f t="shared" si="0"/>
        <v/>
      </c>
      <c r="I14" s="19" t="s">
        <v>101</v>
      </c>
    </row>
    <row r="15" spans="1:16" s="1" customFormat="1" x14ac:dyDescent="0.2">
      <c r="B15" s="7" t="s">
        <v>20</v>
      </c>
      <c r="C15" s="7" t="s">
        <v>20</v>
      </c>
      <c r="D15" s="7"/>
      <c r="E15" s="15">
        <v>161000.79999999999</v>
      </c>
      <c r="F15" s="9">
        <v>5913613.04</v>
      </c>
      <c r="G15" s="18"/>
      <c r="H15" s="18" t="str">
        <f t="shared" si="0"/>
        <v/>
      </c>
      <c r="I15" s="19" t="s">
        <v>101</v>
      </c>
    </row>
    <row r="16" spans="1:16" s="1" customFormat="1" x14ac:dyDescent="0.2">
      <c r="B16" s="7" t="s">
        <v>21</v>
      </c>
      <c r="C16" s="7" t="s">
        <v>21</v>
      </c>
      <c r="D16" s="7"/>
      <c r="E16" s="15">
        <v>72700</v>
      </c>
      <c r="F16" s="9">
        <v>1652306.33</v>
      </c>
      <c r="G16" s="18"/>
      <c r="H16" s="18" t="str">
        <f t="shared" si="0"/>
        <v/>
      </c>
      <c r="I16" s="19" t="s">
        <v>101</v>
      </c>
    </row>
    <row r="17" spans="2:9" s="1" customFormat="1" x14ac:dyDescent="0.2">
      <c r="B17" s="10" t="s">
        <v>22</v>
      </c>
      <c r="C17" s="10"/>
      <c r="D17" s="10" t="s">
        <v>23</v>
      </c>
      <c r="E17" s="16">
        <v>72700</v>
      </c>
      <c r="F17" s="12">
        <v>1652306.33</v>
      </c>
      <c r="G17" s="18"/>
      <c r="H17" s="18">
        <f t="shared" si="0"/>
        <v>72700</v>
      </c>
      <c r="I17" s="19" t="s">
        <v>101</v>
      </c>
    </row>
    <row r="18" spans="2:9" s="1" customFormat="1" x14ac:dyDescent="0.2">
      <c r="B18" s="7" t="s">
        <v>24</v>
      </c>
      <c r="C18" s="7" t="s">
        <v>24</v>
      </c>
      <c r="D18" s="7"/>
      <c r="E18" s="8">
        <v>13</v>
      </c>
      <c r="F18" s="9">
        <v>401962.95</v>
      </c>
      <c r="G18" s="18"/>
      <c r="H18" s="18" t="str">
        <f t="shared" si="0"/>
        <v/>
      </c>
      <c r="I18" s="19" t="s">
        <v>101</v>
      </c>
    </row>
    <row r="19" spans="2:9" s="1" customFormat="1" x14ac:dyDescent="0.2">
      <c r="B19" s="10" t="s">
        <v>25</v>
      </c>
      <c r="C19" s="10"/>
      <c r="D19" s="10" t="s">
        <v>26</v>
      </c>
      <c r="E19" s="11">
        <v>13</v>
      </c>
      <c r="F19" s="12">
        <v>401962.95</v>
      </c>
      <c r="G19" s="18"/>
      <c r="H19" s="18">
        <f t="shared" si="0"/>
        <v>13000</v>
      </c>
      <c r="I19" s="19" t="s">
        <v>101</v>
      </c>
    </row>
    <row r="20" spans="2:9" s="1" customFormat="1" x14ac:dyDescent="0.2">
      <c r="B20" s="7" t="s">
        <v>27</v>
      </c>
      <c r="C20" s="7" t="s">
        <v>27</v>
      </c>
      <c r="D20" s="7"/>
      <c r="E20" s="15">
        <v>66003</v>
      </c>
      <c r="F20" s="9">
        <v>840090.15</v>
      </c>
      <c r="G20" s="18"/>
      <c r="H20" s="18" t="str">
        <f t="shared" si="0"/>
        <v/>
      </c>
      <c r="I20" s="19" t="s">
        <v>101</v>
      </c>
    </row>
    <row r="21" spans="2:9" s="1" customFormat="1" x14ac:dyDescent="0.2">
      <c r="B21" s="10" t="s">
        <v>28</v>
      </c>
      <c r="C21" s="10"/>
      <c r="D21" s="10" t="s">
        <v>23</v>
      </c>
      <c r="E21" s="16">
        <v>66000</v>
      </c>
      <c r="F21" s="12">
        <v>785400</v>
      </c>
      <c r="G21" s="18"/>
      <c r="H21" s="18">
        <f t="shared" si="0"/>
        <v>66000</v>
      </c>
      <c r="I21" s="19" t="s">
        <v>101</v>
      </c>
    </row>
    <row r="22" spans="2:9" s="1" customFormat="1" x14ac:dyDescent="0.2">
      <c r="B22" s="10" t="s">
        <v>29</v>
      </c>
      <c r="C22" s="10"/>
      <c r="D22" s="10" t="s">
        <v>26</v>
      </c>
      <c r="E22" s="11">
        <v>3</v>
      </c>
      <c r="F22" s="12">
        <v>54690.15</v>
      </c>
      <c r="G22" s="18"/>
      <c r="H22" s="18">
        <f t="shared" si="0"/>
        <v>3000</v>
      </c>
      <c r="I22" s="19" t="s">
        <v>101</v>
      </c>
    </row>
    <row r="23" spans="2:9" s="1" customFormat="1" x14ac:dyDescent="0.2">
      <c r="B23" s="7" t="s">
        <v>30</v>
      </c>
      <c r="C23" s="7" t="s">
        <v>30</v>
      </c>
      <c r="D23" s="7"/>
      <c r="E23" s="15">
        <v>22064.799999999999</v>
      </c>
      <c r="F23" s="9">
        <v>2995531.32</v>
      </c>
      <c r="G23" s="18"/>
      <c r="H23" s="18" t="str">
        <f t="shared" si="0"/>
        <v/>
      </c>
      <c r="I23" s="19" t="s">
        <v>101</v>
      </c>
    </row>
    <row r="24" spans="2:9" s="1" customFormat="1" ht="20.399999999999999" x14ac:dyDescent="0.2">
      <c r="B24" s="10" t="s">
        <v>31</v>
      </c>
      <c r="C24" s="10"/>
      <c r="D24" s="10" t="s">
        <v>32</v>
      </c>
      <c r="E24" s="11">
        <v>280</v>
      </c>
      <c r="F24" s="12">
        <v>33614</v>
      </c>
      <c r="G24" s="18">
        <v>1.35</v>
      </c>
      <c r="H24" s="18">
        <f t="shared" si="0"/>
        <v>378</v>
      </c>
      <c r="I24" s="19" t="s">
        <v>102</v>
      </c>
    </row>
    <row r="25" spans="2:9" s="1" customFormat="1" ht="20.399999999999999" x14ac:dyDescent="0.2">
      <c r="B25" s="10" t="s">
        <v>33</v>
      </c>
      <c r="C25" s="10"/>
      <c r="D25" s="10" t="s">
        <v>32</v>
      </c>
      <c r="E25" s="16">
        <v>16620</v>
      </c>
      <c r="F25" s="12">
        <v>1901660.4</v>
      </c>
      <c r="G25" s="18">
        <v>1.35</v>
      </c>
      <c r="H25" s="18">
        <f t="shared" si="0"/>
        <v>22437</v>
      </c>
      <c r="I25" s="19" t="s">
        <v>102</v>
      </c>
    </row>
    <row r="26" spans="2:9" s="1" customFormat="1" ht="20.399999999999999" x14ac:dyDescent="0.2">
      <c r="B26" s="10" t="s">
        <v>34</v>
      </c>
      <c r="C26" s="10"/>
      <c r="D26" s="10" t="s">
        <v>32</v>
      </c>
      <c r="E26" s="11">
        <v>580</v>
      </c>
      <c r="F26" s="12">
        <v>67796.2</v>
      </c>
      <c r="G26" s="18">
        <v>1.3</v>
      </c>
      <c r="H26" s="18">
        <f t="shared" si="0"/>
        <v>754</v>
      </c>
      <c r="I26" s="19" t="s">
        <v>102</v>
      </c>
    </row>
    <row r="27" spans="2:9" s="1" customFormat="1" ht="20.399999999999999" x14ac:dyDescent="0.2">
      <c r="B27" s="10" t="s">
        <v>35</v>
      </c>
      <c r="C27" s="10"/>
      <c r="D27" s="10" t="s">
        <v>32</v>
      </c>
      <c r="E27" s="16">
        <v>4500</v>
      </c>
      <c r="F27" s="12">
        <v>912060</v>
      </c>
      <c r="G27" s="18">
        <v>1.1200000000000001</v>
      </c>
      <c r="H27" s="18">
        <f t="shared" si="0"/>
        <v>5040.0000000000009</v>
      </c>
      <c r="I27" s="19" t="s">
        <v>102</v>
      </c>
    </row>
    <row r="28" spans="2:9" s="1" customFormat="1" ht="20.399999999999999" x14ac:dyDescent="0.2">
      <c r="B28" s="10" t="s">
        <v>36</v>
      </c>
      <c r="C28" s="10"/>
      <c r="D28" s="10" t="s">
        <v>32</v>
      </c>
      <c r="E28" s="11">
        <v>40</v>
      </c>
      <c r="F28" s="12">
        <v>6350.8</v>
      </c>
      <c r="G28" s="18">
        <v>1.1000000000000001</v>
      </c>
      <c r="H28" s="18">
        <f t="shared" si="0"/>
        <v>44</v>
      </c>
      <c r="I28" s="19" t="s">
        <v>102</v>
      </c>
    </row>
    <row r="29" spans="2:9" s="1" customFormat="1" x14ac:dyDescent="0.2">
      <c r="B29" s="10" t="s">
        <v>37</v>
      </c>
      <c r="C29" s="10"/>
      <c r="D29" s="10" t="s">
        <v>23</v>
      </c>
      <c r="E29" s="11">
        <v>44.8</v>
      </c>
      <c r="F29" s="12">
        <v>74049.919999999998</v>
      </c>
      <c r="G29" s="18"/>
      <c r="H29" s="18">
        <f t="shared" si="0"/>
        <v>44.8</v>
      </c>
      <c r="I29" s="19" t="s">
        <v>101</v>
      </c>
    </row>
    <row r="30" spans="2:9" s="1" customFormat="1" x14ac:dyDescent="0.2">
      <c r="B30" s="7" t="s">
        <v>38</v>
      </c>
      <c r="C30" s="7" t="s">
        <v>38</v>
      </c>
      <c r="D30" s="7"/>
      <c r="E30" s="8">
        <v>220</v>
      </c>
      <c r="F30" s="9">
        <v>23722.29</v>
      </c>
      <c r="G30" s="18"/>
      <c r="H30" s="18" t="str">
        <f t="shared" si="0"/>
        <v/>
      </c>
      <c r="I30" s="19" t="s">
        <v>101</v>
      </c>
    </row>
    <row r="31" spans="2:9" s="1" customFormat="1" x14ac:dyDescent="0.2">
      <c r="B31" s="10" t="s">
        <v>39</v>
      </c>
      <c r="C31" s="10"/>
      <c r="D31" s="10" t="s">
        <v>23</v>
      </c>
      <c r="E31" s="11">
        <v>20</v>
      </c>
      <c r="F31" s="12">
        <v>2388.89</v>
      </c>
      <c r="G31" s="18"/>
      <c r="H31" s="18">
        <f t="shared" si="0"/>
        <v>20</v>
      </c>
      <c r="I31" s="19" t="s">
        <v>101</v>
      </c>
    </row>
    <row r="32" spans="2:9" s="1" customFormat="1" x14ac:dyDescent="0.2">
      <c r="B32" s="10" t="s">
        <v>40</v>
      </c>
      <c r="C32" s="10"/>
      <c r="D32" s="10" t="s">
        <v>23</v>
      </c>
      <c r="E32" s="11">
        <v>200</v>
      </c>
      <c r="F32" s="12">
        <v>21333.4</v>
      </c>
      <c r="G32" s="18"/>
      <c r="H32" s="18">
        <f t="shared" si="0"/>
        <v>200</v>
      </c>
      <c r="I32" s="19" t="s">
        <v>101</v>
      </c>
    </row>
    <row r="33" spans="2:9" s="1" customFormat="1" x14ac:dyDescent="0.2">
      <c r="B33" s="7" t="s">
        <v>41</v>
      </c>
      <c r="C33" s="7" t="s">
        <v>41</v>
      </c>
      <c r="D33" s="7"/>
      <c r="E33" s="15">
        <v>33145.5</v>
      </c>
      <c r="F33" s="9">
        <v>13475101.48</v>
      </c>
      <c r="G33" s="18"/>
      <c r="H33" s="18" t="str">
        <f t="shared" si="0"/>
        <v/>
      </c>
      <c r="I33" s="19" t="s">
        <v>101</v>
      </c>
    </row>
    <row r="34" spans="2:9" s="1" customFormat="1" x14ac:dyDescent="0.2">
      <c r="B34" s="7" t="s">
        <v>42</v>
      </c>
      <c r="C34" s="7" t="s">
        <v>42</v>
      </c>
      <c r="D34" s="7"/>
      <c r="E34" s="15">
        <v>2945</v>
      </c>
      <c r="F34" s="9">
        <v>531294.42000000004</v>
      </c>
      <c r="G34" s="18"/>
      <c r="H34" s="18" t="str">
        <f t="shared" si="0"/>
        <v/>
      </c>
      <c r="I34" s="19" t="s">
        <v>101</v>
      </c>
    </row>
    <row r="35" spans="2:9" s="1" customFormat="1" ht="20.399999999999999" x14ac:dyDescent="0.2">
      <c r="B35" s="10" t="s">
        <v>43</v>
      </c>
      <c r="C35" s="10"/>
      <c r="D35" s="10" t="s">
        <v>32</v>
      </c>
      <c r="E35" s="16">
        <v>2800</v>
      </c>
      <c r="F35" s="12">
        <v>445796.62</v>
      </c>
      <c r="G35" s="18">
        <v>1.1000000000000001</v>
      </c>
      <c r="H35" s="18">
        <f t="shared" si="0"/>
        <v>3080.0000000000005</v>
      </c>
      <c r="I35" s="19" t="s">
        <v>102</v>
      </c>
    </row>
    <row r="36" spans="2:9" s="1" customFormat="1" ht="20.399999999999999" x14ac:dyDescent="0.2">
      <c r="B36" s="10" t="s">
        <v>44</v>
      </c>
      <c r="C36" s="10"/>
      <c r="D36" s="10" t="s">
        <v>32</v>
      </c>
      <c r="E36" s="11">
        <v>145</v>
      </c>
      <c r="F36" s="12">
        <v>85497.8</v>
      </c>
      <c r="G36" s="18">
        <v>1.1000000000000001</v>
      </c>
      <c r="H36" s="18">
        <f t="shared" si="0"/>
        <v>159.5</v>
      </c>
      <c r="I36" s="19" t="s">
        <v>102</v>
      </c>
    </row>
    <row r="37" spans="2:9" s="1" customFormat="1" x14ac:dyDescent="0.2">
      <c r="B37" s="7" t="s">
        <v>45</v>
      </c>
      <c r="C37" s="7" t="s">
        <v>45</v>
      </c>
      <c r="D37" s="7"/>
      <c r="E37" s="15">
        <v>21536.5</v>
      </c>
      <c r="F37" s="9">
        <v>6545453.1900000004</v>
      </c>
      <c r="G37" s="18"/>
      <c r="H37" s="18" t="str">
        <f t="shared" si="0"/>
        <v/>
      </c>
      <c r="I37" s="19" t="s">
        <v>101</v>
      </c>
    </row>
    <row r="38" spans="2:9" s="1" customFormat="1" ht="20.399999999999999" x14ac:dyDescent="0.2">
      <c r="B38" s="10" t="s">
        <v>46</v>
      </c>
      <c r="C38" s="10"/>
      <c r="D38" s="10" t="s">
        <v>32</v>
      </c>
      <c r="E38" s="11">
        <v>320</v>
      </c>
      <c r="F38" s="12">
        <v>137788.79999999999</v>
      </c>
      <c r="G38" s="18">
        <v>1.1000000000000001</v>
      </c>
      <c r="H38" s="18">
        <f t="shared" si="0"/>
        <v>352</v>
      </c>
      <c r="I38" s="19" t="s">
        <v>102</v>
      </c>
    </row>
    <row r="39" spans="2:9" s="1" customFormat="1" ht="20.399999999999999" x14ac:dyDescent="0.2">
      <c r="B39" s="10" t="s">
        <v>47</v>
      </c>
      <c r="C39" s="10"/>
      <c r="D39" s="10" t="s">
        <v>32</v>
      </c>
      <c r="E39" s="16">
        <v>3490</v>
      </c>
      <c r="F39" s="12">
        <v>1394813.4</v>
      </c>
      <c r="G39" s="18">
        <v>1.08</v>
      </c>
      <c r="H39" s="18">
        <f t="shared" si="0"/>
        <v>3769.2000000000003</v>
      </c>
      <c r="I39" s="19" t="s">
        <v>102</v>
      </c>
    </row>
    <row r="40" spans="2:9" s="1" customFormat="1" ht="20.399999999999999" x14ac:dyDescent="0.2">
      <c r="B40" s="10" t="s">
        <v>48</v>
      </c>
      <c r="C40" s="10"/>
      <c r="D40" s="10" t="s">
        <v>32</v>
      </c>
      <c r="E40" s="11">
        <v>279.75</v>
      </c>
      <c r="F40" s="12">
        <v>53127.32</v>
      </c>
      <c r="G40" s="18">
        <v>1.05</v>
      </c>
      <c r="H40" s="18">
        <f t="shared" si="0"/>
        <v>293.73750000000001</v>
      </c>
      <c r="I40" s="19" t="s">
        <v>102</v>
      </c>
    </row>
    <row r="41" spans="2:9" s="1" customFormat="1" ht="20.399999999999999" x14ac:dyDescent="0.2">
      <c r="B41" s="10" t="s">
        <v>49</v>
      </c>
      <c r="C41" s="10"/>
      <c r="D41" s="10" t="s">
        <v>32</v>
      </c>
      <c r="E41" s="11">
        <v>300</v>
      </c>
      <c r="F41" s="12">
        <v>593877</v>
      </c>
      <c r="G41" s="18">
        <v>1.08</v>
      </c>
      <c r="H41" s="18">
        <f t="shared" si="0"/>
        <v>324</v>
      </c>
      <c r="I41" s="19" t="s">
        <v>102</v>
      </c>
    </row>
    <row r="42" spans="2:9" s="1" customFormat="1" ht="20.399999999999999" x14ac:dyDescent="0.2">
      <c r="B42" s="10" t="s">
        <v>50</v>
      </c>
      <c r="C42" s="10"/>
      <c r="D42" s="10" t="s">
        <v>32</v>
      </c>
      <c r="E42" s="16">
        <v>1460</v>
      </c>
      <c r="F42" s="12">
        <v>591392.19999999995</v>
      </c>
      <c r="G42" s="18">
        <v>1.1200000000000001</v>
      </c>
      <c r="H42" s="18">
        <f t="shared" si="0"/>
        <v>1635.2</v>
      </c>
      <c r="I42" s="19" t="s">
        <v>102</v>
      </c>
    </row>
    <row r="43" spans="2:9" s="1" customFormat="1" x14ac:dyDescent="0.2">
      <c r="B43" s="10" t="s">
        <v>51</v>
      </c>
      <c r="C43" s="10"/>
      <c r="D43" s="10" t="s">
        <v>23</v>
      </c>
      <c r="E43" s="11">
        <v>26</v>
      </c>
      <c r="F43" s="12">
        <v>76408.800000000003</v>
      </c>
      <c r="G43" s="18"/>
      <c r="H43" s="18">
        <f t="shared" ref="H43:H74" si="1">IF(D43="л",IF(G43&lt;&gt;"",E43*G43,""),IF(D43="кг",E43,IF(D43="т",E43*1000,"")))</f>
        <v>26</v>
      </c>
      <c r="I43" s="19" t="s">
        <v>101</v>
      </c>
    </row>
    <row r="44" spans="2:9" s="1" customFormat="1" ht="20.399999999999999" x14ac:dyDescent="0.2">
      <c r="B44" s="10" t="s">
        <v>52</v>
      </c>
      <c r="C44" s="10"/>
      <c r="D44" s="10" t="s">
        <v>32</v>
      </c>
      <c r="E44" s="16">
        <v>1040</v>
      </c>
      <c r="F44" s="12">
        <v>428911.74</v>
      </c>
      <c r="G44" s="18">
        <v>1.18</v>
      </c>
      <c r="H44" s="18">
        <f t="shared" si="1"/>
        <v>1227.2</v>
      </c>
      <c r="I44" s="19" t="s">
        <v>102</v>
      </c>
    </row>
    <row r="45" spans="2:9" s="1" customFormat="1" ht="20.399999999999999" x14ac:dyDescent="0.2">
      <c r="B45" s="10" t="s">
        <v>53</v>
      </c>
      <c r="C45" s="10"/>
      <c r="D45" s="10" t="s">
        <v>32</v>
      </c>
      <c r="E45" s="11">
        <v>270</v>
      </c>
      <c r="F45" s="12">
        <v>90074.7</v>
      </c>
      <c r="G45" s="18">
        <v>1.1599999999999999</v>
      </c>
      <c r="H45" s="18">
        <f t="shared" si="1"/>
        <v>313.2</v>
      </c>
      <c r="I45" s="19" t="s">
        <v>102</v>
      </c>
    </row>
    <row r="46" spans="2:9" s="1" customFormat="1" ht="20.399999999999999" x14ac:dyDescent="0.2">
      <c r="B46" s="10" t="s">
        <v>54</v>
      </c>
      <c r="C46" s="10"/>
      <c r="D46" s="10" t="s">
        <v>32</v>
      </c>
      <c r="E46" s="11">
        <v>800</v>
      </c>
      <c r="F46" s="12">
        <v>115145.22</v>
      </c>
      <c r="G46" s="18">
        <v>1.1000000000000001</v>
      </c>
      <c r="H46" s="18">
        <f t="shared" si="1"/>
        <v>880.00000000000011</v>
      </c>
      <c r="I46" s="19" t="s">
        <v>102</v>
      </c>
    </row>
    <row r="47" spans="2:9" s="1" customFormat="1" ht="20.399999999999999" x14ac:dyDescent="0.2">
      <c r="B47" s="10" t="s">
        <v>55</v>
      </c>
      <c r="C47" s="10"/>
      <c r="D47" s="10" t="s">
        <v>32</v>
      </c>
      <c r="E47" s="16">
        <v>2400</v>
      </c>
      <c r="F47" s="12">
        <v>962586.72</v>
      </c>
      <c r="G47" s="18">
        <v>1.05</v>
      </c>
      <c r="H47" s="18">
        <f t="shared" si="1"/>
        <v>2520</v>
      </c>
      <c r="I47" s="19" t="s">
        <v>102</v>
      </c>
    </row>
    <row r="48" spans="2:9" s="1" customFormat="1" x14ac:dyDescent="0.2">
      <c r="B48" s="10" t="s">
        <v>56</v>
      </c>
      <c r="C48" s="10"/>
      <c r="D48" s="10" t="s">
        <v>23</v>
      </c>
      <c r="E48" s="11">
        <v>7.5</v>
      </c>
      <c r="F48" s="12">
        <v>31193.85</v>
      </c>
      <c r="G48" s="18"/>
      <c r="H48" s="18">
        <f t="shared" si="1"/>
        <v>7.5</v>
      </c>
      <c r="I48" s="19" t="s">
        <v>101</v>
      </c>
    </row>
    <row r="49" spans="2:9" s="1" customFormat="1" ht="20.399999999999999" x14ac:dyDescent="0.2">
      <c r="B49" s="10" t="s">
        <v>57</v>
      </c>
      <c r="C49" s="10"/>
      <c r="D49" s="10" t="s">
        <v>32</v>
      </c>
      <c r="E49" s="16">
        <v>6390</v>
      </c>
      <c r="F49" s="12">
        <v>1025230.2</v>
      </c>
      <c r="G49" s="18">
        <v>1.1000000000000001</v>
      </c>
      <c r="H49" s="18">
        <f t="shared" si="1"/>
        <v>7029.0000000000009</v>
      </c>
      <c r="I49" s="19" t="s">
        <v>102</v>
      </c>
    </row>
    <row r="50" spans="2:9" s="1" customFormat="1" ht="20.399999999999999" x14ac:dyDescent="0.2">
      <c r="B50" s="10" t="s">
        <v>58</v>
      </c>
      <c r="C50" s="10" t="s">
        <v>59</v>
      </c>
      <c r="D50" s="10" t="s">
        <v>32</v>
      </c>
      <c r="E50" s="11">
        <v>30</v>
      </c>
      <c r="F50" s="12">
        <v>8749.23</v>
      </c>
      <c r="G50" s="18">
        <v>1.1000000000000001</v>
      </c>
      <c r="H50" s="18">
        <f t="shared" si="1"/>
        <v>33</v>
      </c>
      <c r="I50" s="19" t="s">
        <v>102</v>
      </c>
    </row>
    <row r="51" spans="2:9" s="1" customFormat="1" x14ac:dyDescent="0.2">
      <c r="B51" s="10" t="s">
        <v>60</v>
      </c>
      <c r="C51" s="10"/>
      <c r="D51" s="10" t="s">
        <v>23</v>
      </c>
      <c r="E51" s="11">
        <v>49.5</v>
      </c>
      <c r="F51" s="12">
        <v>162904.5</v>
      </c>
      <c r="G51" s="18"/>
      <c r="H51" s="18">
        <f t="shared" si="1"/>
        <v>49.5</v>
      </c>
      <c r="I51" s="19" t="s">
        <v>101</v>
      </c>
    </row>
    <row r="52" spans="2:9" s="1" customFormat="1" ht="20.399999999999999" x14ac:dyDescent="0.2">
      <c r="B52" s="10" t="s">
        <v>61</v>
      </c>
      <c r="C52" s="10"/>
      <c r="D52" s="10" t="s">
        <v>32</v>
      </c>
      <c r="E52" s="14"/>
      <c r="F52" s="14"/>
      <c r="G52" s="18">
        <v>1.17</v>
      </c>
      <c r="H52" s="18">
        <f t="shared" si="1"/>
        <v>0</v>
      </c>
      <c r="I52" s="19" t="s">
        <v>102</v>
      </c>
    </row>
    <row r="53" spans="2:9" s="1" customFormat="1" x14ac:dyDescent="0.2">
      <c r="B53" s="10" t="s">
        <v>62</v>
      </c>
      <c r="C53" s="10"/>
      <c r="D53" s="10" t="s">
        <v>23</v>
      </c>
      <c r="E53" s="11">
        <v>43.75</v>
      </c>
      <c r="F53" s="12">
        <v>64719.81</v>
      </c>
      <c r="G53" s="18"/>
      <c r="H53" s="18">
        <f t="shared" si="1"/>
        <v>43.75</v>
      </c>
      <c r="I53" s="19" t="s">
        <v>101</v>
      </c>
    </row>
    <row r="54" spans="2:9" s="1" customFormat="1" ht="20.399999999999999" x14ac:dyDescent="0.2">
      <c r="B54" s="10" t="s">
        <v>63</v>
      </c>
      <c r="C54" s="10"/>
      <c r="D54" s="10" t="s">
        <v>32</v>
      </c>
      <c r="E54" s="11">
        <v>230</v>
      </c>
      <c r="F54" s="12">
        <v>124197.7</v>
      </c>
      <c r="G54" s="18">
        <v>1.1599999999999999</v>
      </c>
      <c r="H54" s="18">
        <f t="shared" si="1"/>
        <v>266.79999999999995</v>
      </c>
      <c r="I54" s="19" t="s">
        <v>102</v>
      </c>
    </row>
    <row r="55" spans="2:9" s="1" customFormat="1" ht="20.399999999999999" x14ac:dyDescent="0.2">
      <c r="B55" s="10" t="s">
        <v>64</v>
      </c>
      <c r="C55" s="10"/>
      <c r="D55" s="10" t="s">
        <v>32</v>
      </c>
      <c r="E55" s="16">
        <v>4400</v>
      </c>
      <c r="F55" s="12">
        <v>684332</v>
      </c>
      <c r="G55" s="18">
        <v>1.1000000000000001</v>
      </c>
      <c r="H55" s="18">
        <f t="shared" si="1"/>
        <v>4840</v>
      </c>
      <c r="I55" s="19" t="s">
        <v>102</v>
      </c>
    </row>
    <row r="56" spans="2:9" s="1" customFormat="1" x14ac:dyDescent="0.2">
      <c r="B56" s="7" t="s">
        <v>65</v>
      </c>
      <c r="C56" s="7" t="s">
        <v>65</v>
      </c>
      <c r="D56" s="7"/>
      <c r="E56" s="15">
        <v>1264</v>
      </c>
      <c r="F56" s="9">
        <v>901678.47</v>
      </c>
      <c r="G56" s="18"/>
      <c r="H56" s="18" t="str">
        <f t="shared" si="1"/>
        <v/>
      </c>
      <c r="I56" s="19" t="s">
        <v>101</v>
      </c>
    </row>
    <row r="57" spans="2:9" s="1" customFormat="1" ht="20.399999999999999" x14ac:dyDescent="0.2">
      <c r="B57" s="10" t="s">
        <v>66</v>
      </c>
      <c r="C57" s="10"/>
      <c r="D57" s="10" t="s">
        <v>32</v>
      </c>
      <c r="E57" s="11">
        <v>49</v>
      </c>
      <c r="F57" s="12">
        <v>41055.620000000003</v>
      </c>
      <c r="G57" s="18">
        <v>0.98</v>
      </c>
      <c r="H57" s="18">
        <f t="shared" si="1"/>
        <v>48.019999999999996</v>
      </c>
      <c r="I57" s="19" t="s">
        <v>102</v>
      </c>
    </row>
    <row r="58" spans="2:9" s="1" customFormat="1" ht="20.399999999999999" x14ac:dyDescent="0.2">
      <c r="B58" s="10" t="s">
        <v>67</v>
      </c>
      <c r="C58" s="10"/>
      <c r="D58" s="10" t="s">
        <v>32</v>
      </c>
      <c r="E58" s="11">
        <v>10</v>
      </c>
      <c r="F58" s="12">
        <v>1823.5</v>
      </c>
      <c r="G58" s="18">
        <v>1.02</v>
      </c>
      <c r="H58" s="18">
        <f t="shared" si="1"/>
        <v>10.199999999999999</v>
      </c>
      <c r="I58" s="19" t="s">
        <v>102</v>
      </c>
    </row>
    <row r="59" spans="2:9" s="1" customFormat="1" ht="20.399999999999999" x14ac:dyDescent="0.2">
      <c r="B59" s="10" t="s">
        <v>68</v>
      </c>
      <c r="C59" s="10"/>
      <c r="D59" s="10" t="s">
        <v>32</v>
      </c>
      <c r="E59" s="11">
        <v>545</v>
      </c>
      <c r="F59" s="12">
        <v>302229.75</v>
      </c>
      <c r="G59" s="18">
        <v>1</v>
      </c>
      <c r="H59" s="18">
        <f t="shared" si="1"/>
        <v>545</v>
      </c>
      <c r="I59" s="19" t="s">
        <v>102</v>
      </c>
    </row>
    <row r="60" spans="2:9" s="1" customFormat="1" ht="20.399999999999999" x14ac:dyDescent="0.2">
      <c r="B60" s="10" t="s">
        <v>69</v>
      </c>
      <c r="C60" s="10"/>
      <c r="D60" s="10" t="s">
        <v>32</v>
      </c>
      <c r="E60" s="11">
        <v>660</v>
      </c>
      <c r="F60" s="12">
        <v>556569.59999999998</v>
      </c>
      <c r="G60" s="18">
        <v>0.9</v>
      </c>
      <c r="H60" s="18">
        <f t="shared" si="1"/>
        <v>594</v>
      </c>
      <c r="I60" s="19" t="s">
        <v>102</v>
      </c>
    </row>
    <row r="61" spans="2:9" s="1" customFormat="1" x14ac:dyDescent="0.2">
      <c r="B61" s="7" t="s">
        <v>70</v>
      </c>
      <c r="C61" s="7" t="s">
        <v>70</v>
      </c>
      <c r="D61" s="7"/>
      <c r="E61" s="15">
        <v>3800</v>
      </c>
      <c r="F61" s="9">
        <v>451843.1</v>
      </c>
      <c r="G61" s="18"/>
      <c r="H61" s="18" t="str">
        <f t="shared" si="1"/>
        <v/>
      </c>
      <c r="I61" s="19" t="s">
        <v>101</v>
      </c>
    </row>
    <row r="62" spans="2:9" s="1" customFormat="1" ht="20.399999999999999" x14ac:dyDescent="0.2">
      <c r="B62" s="10" t="s">
        <v>71</v>
      </c>
      <c r="C62" s="10"/>
      <c r="D62" s="10" t="s">
        <v>32</v>
      </c>
      <c r="E62" s="11">
        <v>140</v>
      </c>
      <c r="F62" s="12">
        <v>94661</v>
      </c>
      <c r="G62" s="18">
        <v>1.1499999999999999</v>
      </c>
      <c r="H62" s="18">
        <f t="shared" si="1"/>
        <v>161</v>
      </c>
      <c r="I62" s="19" t="s">
        <v>102</v>
      </c>
    </row>
    <row r="63" spans="2:9" s="1" customFormat="1" ht="20.399999999999999" x14ac:dyDescent="0.2">
      <c r="B63" s="10" t="s">
        <v>72</v>
      </c>
      <c r="C63" s="10"/>
      <c r="D63" s="10" t="s">
        <v>32</v>
      </c>
      <c r="E63" s="11">
        <v>110</v>
      </c>
      <c r="F63" s="12">
        <v>94766.1</v>
      </c>
      <c r="G63" s="18">
        <v>0.98</v>
      </c>
      <c r="H63" s="18">
        <f t="shared" si="1"/>
        <v>107.8</v>
      </c>
      <c r="I63" s="19" t="s">
        <v>102</v>
      </c>
    </row>
    <row r="64" spans="2:9" s="1" customFormat="1" ht="20.399999999999999" x14ac:dyDescent="0.2">
      <c r="B64" s="10" t="s">
        <v>73</v>
      </c>
      <c r="C64" s="10"/>
      <c r="D64" s="10" t="s">
        <v>32</v>
      </c>
      <c r="E64" s="16">
        <v>3550</v>
      </c>
      <c r="F64" s="12">
        <v>262416</v>
      </c>
      <c r="G64" s="18">
        <v>1.08</v>
      </c>
      <c r="H64" s="18">
        <f t="shared" si="1"/>
        <v>3834.0000000000005</v>
      </c>
      <c r="I64" s="19" t="s">
        <v>102</v>
      </c>
    </row>
    <row r="65" spans="2:9" s="1" customFormat="1" x14ac:dyDescent="0.2">
      <c r="B65" s="7" t="s">
        <v>74</v>
      </c>
      <c r="C65" s="7" t="s">
        <v>74</v>
      </c>
      <c r="D65" s="7"/>
      <c r="E65" s="15">
        <v>3600</v>
      </c>
      <c r="F65" s="9">
        <v>5044832.3</v>
      </c>
      <c r="G65" s="18"/>
      <c r="H65" s="18" t="str">
        <f t="shared" si="1"/>
        <v/>
      </c>
      <c r="I65" s="19" t="s">
        <v>101</v>
      </c>
    </row>
    <row r="66" spans="2:9" s="1" customFormat="1" ht="20.399999999999999" x14ac:dyDescent="0.2">
      <c r="B66" s="10" t="s">
        <v>75</v>
      </c>
      <c r="C66" s="10"/>
      <c r="D66" s="10" t="s">
        <v>32</v>
      </c>
      <c r="E66" s="16">
        <v>1385</v>
      </c>
      <c r="F66" s="12">
        <v>2652565.85</v>
      </c>
      <c r="G66" s="18">
        <v>1.08</v>
      </c>
      <c r="H66" s="18">
        <f t="shared" si="1"/>
        <v>1495.8000000000002</v>
      </c>
      <c r="I66" s="19" t="s">
        <v>102</v>
      </c>
    </row>
    <row r="67" spans="2:9" s="1" customFormat="1" ht="20.399999999999999" x14ac:dyDescent="0.2">
      <c r="B67" s="10" t="s">
        <v>76</v>
      </c>
      <c r="C67" s="10"/>
      <c r="D67" s="10" t="s">
        <v>32</v>
      </c>
      <c r="E67" s="16">
        <v>2215</v>
      </c>
      <c r="F67" s="12">
        <v>2392266.4500000002</v>
      </c>
      <c r="G67" s="18">
        <v>1.1000000000000001</v>
      </c>
      <c r="H67" s="18">
        <f t="shared" si="1"/>
        <v>2436.5</v>
      </c>
      <c r="I67" s="19" t="s">
        <v>102</v>
      </c>
    </row>
    <row r="68" spans="2:9" s="1" customFormat="1" x14ac:dyDescent="0.2">
      <c r="B68" s="7" t="s">
        <v>77</v>
      </c>
      <c r="C68" s="7" t="s">
        <v>77</v>
      </c>
      <c r="D68" s="7"/>
      <c r="E68" s="15">
        <v>10100</v>
      </c>
      <c r="F68" s="9">
        <v>350183.33</v>
      </c>
      <c r="G68" s="18"/>
      <c r="H68" s="18" t="str">
        <f t="shared" si="1"/>
        <v/>
      </c>
      <c r="I68" s="19" t="s">
        <v>101</v>
      </c>
    </row>
    <row r="69" spans="2:9" s="1" customFormat="1" x14ac:dyDescent="0.2">
      <c r="B69" s="7" t="s">
        <v>78</v>
      </c>
      <c r="C69" s="7" t="s">
        <v>78</v>
      </c>
      <c r="D69" s="7"/>
      <c r="E69" s="15">
        <v>10100</v>
      </c>
      <c r="F69" s="9">
        <v>350183.33</v>
      </c>
      <c r="G69" s="18"/>
      <c r="H69" s="18" t="str">
        <f t="shared" si="1"/>
        <v/>
      </c>
      <c r="I69" s="19" t="s">
        <v>101</v>
      </c>
    </row>
    <row r="70" spans="2:9" s="1" customFormat="1" x14ac:dyDescent="0.2">
      <c r="B70" s="10" t="s">
        <v>79</v>
      </c>
      <c r="C70" s="10"/>
      <c r="D70" s="10" t="s">
        <v>23</v>
      </c>
      <c r="E70" s="11">
        <v>840</v>
      </c>
      <c r="F70" s="12">
        <v>33600</v>
      </c>
      <c r="G70" s="18"/>
      <c r="H70" s="18">
        <f t="shared" si="1"/>
        <v>840</v>
      </c>
      <c r="I70" s="19" t="s">
        <v>101</v>
      </c>
    </row>
    <row r="71" spans="2:9" s="1" customFormat="1" x14ac:dyDescent="0.2">
      <c r="B71" s="10" t="s">
        <v>80</v>
      </c>
      <c r="C71" s="10"/>
      <c r="D71" s="10" t="s">
        <v>23</v>
      </c>
      <c r="E71" s="16">
        <v>1020</v>
      </c>
      <c r="F71" s="12">
        <v>48450</v>
      </c>
      <c r="G71" s="18"/>
      <c r="H71" s="18">
        <f t="shared" si="1"/>
        <v>1020</v>
      </c>
      <c r="I71" s="19" t="s">
        <v>101</v>
      </c>
    </row>
    <row r="72" spans="2:9" s="1" customFormat="1" x14ac:dyDescent="0.2">
      <c r="B72" s="10" t="s">
        <v>81</v>
      </c>
      <c r="C72" s="10"/>
      <c r="D72" s="10" t="s">
        <v>23</v>
      </c>
      <c r="E72" s="16">
        <v>1020</v>
      </c>
      <c r="F72" s="12">
        <v>48450</v>
      </c>
      <c r="G72" s="18"/>
      <c r="H72" s="18">
        <f t="shared" si="1"/>
        <v>1020</v>
      </c>
      <c r="I72" s="19" t="s">
        <v>101</v>
      </c>
    </row>
    <row r="73" spans="2:9" s="1" customFormat="1" x14ac:dyDescent="0.2">
      <c r="B73" s="10" t="s">
        <v>82</v>
      </c>
      <c r="C73" s="10"/>
      <c r="D73" s="10" t="s">
        <v>23</v>
      </c>
      <c r="E73" s="16">
        <v>2830</v>
      </c>
      <c r="F73" s="12">
        <v>66033.33</v>
      </c>
      <c r="G73" s="18"/>
      <c r="H73" s="18">
        <f t="shared" si="1"/>
        <v>2830</v>
      </c>
      <c r="I73" s="19" t="s">
        <v>101</v>
      </c>
    </row>
    <row r="74" spans="2:9" s="1" customFormat="1" x14ac:dyDescent="0.2">
      <c r="B74" s="10" t="s">
        <v>83</v>
      </c>
      <c r="C74" s="10"/>
      <c r="D74" s="10" t="s">
        <v>23</v>
      </c>
      <c r="E74" s="16">
        <v>4390</v>
      </c>
      <c r="F74" s="12">
        <v>153650</v>
      </c>
      <c r="G74" s="18"/>
      <c r="H74" s="18">
        <f t="shared" si="1"/>
        <v>4390</v>
      </c>
      <c r="I74" s="19" t="s">
        <v>101</v>
      </c>
    </row>
    <row r="75" spans="2:9" s="1" customFormat="1" x14ac:dyDescent="0.2">
      <c r="B75" s="7" t="s">
        <v>84</v>
      </c>
      <c r="C75" s="7" t="s">
        <v>84</v>
      </c>
      <c r="D75" s="7"/>
      <c r="E75" s="8">
        <v>20</v>
      </c>
      <c r="F75" s="9">
        <v>10020.799999999999</v>
      </c>
      <c r="G75" s="18"/>
      <c r="H75" s="18" t="str">
        <f t="shared" ref="H75:H106" si="2">IF(D75="л",IF(G75&lt;&gt;"",E75*G75,""),IF(D75="кг",E75,IF(D75="т",E75*1000,"")))</f>
        <v/>
      </c>
      <c r="I75" s="19" t="s">
        <v>101</v>
      </c>
    </row>
    <row r="76" spans="2:9" s="1" customFormat="1" ht="20.399999999999999" x14ac:dyDescent="0.2">
      <c r="B76" s="7" t="s">
        <v>85</v>
      </c>
      <c r="C76" s="7" t="s">
        <v>85</v>
      </c>
      <c r="D76" s="7"/>
      <c r="E76" s="8">
        <v>20</v>
      </c>
      <c r="F76" s="9">
        <v>10020.799999999999</v>
      </c>
      <c r="G76" s="18"/>
      <c r="H76" s="18" t="str">
        <f t="shared" si="2"/>
        <v/>
      </c>
      <c r="I76" s="19" t="s">
        <v>101</v>
      </c>
    </row>
    <row r="77" spans="2:9" s="1" customFormat="1" ht="20.399999999999999" x14ac:dyDescent="0.2">
      <c r="B77" s="10" t="s">
        <v>86</v>
      </c>
      <c r="C77" s="10"/>
      <c r="D77" s="10" t="s">
        <v>32</v>
      </c>
      <c r="E77" s="11">
        <v>20</v>
      </c>
      <c r="F77" s="12">
        <v>10020.799999999999</v>
      </c>
      <c r="G77" s="18">
        <v>1.1000000000000001</v>
      </c>
      <c r="H77" s="18">
        <f t="shared" si="2"/>
        <v>22</v>
      </c>
      <c r="I77" s="19" t="s">
        <v>102</v>
      </c>
    </row>
    <row r="78" spans="2:9" s="1" customFormat="1" x14ac:dyDescent="0.2">
      <c r="B78" s="7" t="s">
        <v>87</v>
      </c>
      <c r="C78" s="7" t="s">
        <v>87</v>
      </c>
      <c r="D78" s="7"/>
      <c r="E78" s="15">
        <v>8675</v>
      </c>
      <c r="F78" s="9">
        <v>367607.6</v>
      </c>
      <c r="G78" s="18"/>
      <c r="H78" s="18" t="str">
        <f t="shared" si="2"/>
        <v/>
      </c>
      <c r="I78" s="19" t="s">
        <v>101</v>
      </c>
    </row>
    <row r="79" spans="2:9" s="1" customFormat="1" x14ac:dyDescent="0.2">
      <c r="B79" s="7" t="s">
        <v>88</v>
      </c>
      <c r="C79" s="7" t="s">
        <v>88</v>
      </c>
      <c r="D79" s="7"/>
      <c r="E79" s="15">
        <v>7905</v>
      </c>
      <c r="F79" s="9">
        <v>343537.37</v>
      </c>
      <c r="G79" s="18"/>
      <c r="H79" s="18" t="str">
        <f t="shared" si="2"/>
        <v/>
      </c>
      <c r="I79" s="19" t="s">
        <v>101</v>
      </c>
    </row>
    <row r="80" spans="2:9" s="1" customFormat="1" x14ac:dyDescent="0.2">
      <c r="B80" s="7" t="s">
        <v>89</v>
      </c>
      <c r="C80" s="7" t="s">
        <v>89</v>
      </c>
      <c r="D80" s="7"/>
      <c r="E80" s="15">
        <v>7905</v>
      </c>
      <c r="F80" s="9">
        <v>343537.37</v>
      </c>
      <c r="G80" s="18"/>
      <c r="H80" s="18" t="str">
        <f t="shared" si="2"/>
        <v/>
      </c>
      <c r="I80" s="19" t="s">
        <v>101</v>
      </c>
    </row>
    <row r="81" spans="2:9" s="1" customFormat="1" x14ac:dyDescent="0.2">
      <c r="B81" s="10" t="s">
        <v>90</v>
      </c>
      <c r="C81" s="10"/>
      <c r="D81" s="10" t="s">
        <v>23</v>
      </c>
      <c r="E81" s="16">
        <v>2159</v>
      </c>
      <c r="F81" s="12">
        <v>172720</v>
      </c>
      <c r="G81" s="18"/>
      <c r="H81" s="18">
        <f t="shared" si="2"/>
        <v>2159</v>
      </c>
      <c r="I81" s="19" t="s">
        <v>101</v>
      </c>
    </row>
    <row r="82" spans="2:9" s="1" customFormat="1" x14ac:dyDescent="0.2">
      <c r="B82" s="10" t="s">
        <v>91</v>
      </c>
      <c r="C82" s="10"/>
      <c r="D82" s="10" t="s">
        <v>23</v>
      </c>
      <c r="E82" s="16">
        <v>5746</v>
      </c>
      <c r="F82" s="12">
        <v>170817.37</v>
      </c>
      <c r="G82" s="18"/>
      <c r="H82" s="18">
        <f t="shared" si="2"/>
        <v>5746</v>
      </c>
      <c r="I82" s="19" t="s">
        <v>101</v>
      </c>
    </row>
    <row r="83" spans="2:9" s="1" customFormat="1" x14ac:dyDescent="0.2">
      <c r="B83" s="7" t="s">
        <v>92</v>
      </c>
      <c r="C83" s="7" t="s">
        <v>92</v>
      </c>
      <c r="D83" s="7"/>
      <c r="E83" s="8">
        <v>770</v>
      </c>
      <c r="F83" s="9">
        <v>24070.23</v>
      </c>
      <c r="G83" s="18"/>
      <c r="H83" s="18" t="str">
        <f t="shared" si="2"/>
        <v/>
      </c>
      <c r="I83" s="19" t="s">
        <v>101</v>
      </c>
    </row>
    <row r="84" spans="2:9" s="1" customFormat="1" x14ac:dyDescent="0.2">
      <c r="B84" s="7" t="s">
        <v>93</v>
      </c>
      <c r="C84" s="7" t="s">
        <v>93</v>
      </c>
      <c r="D84" s="7"/>
      <c r="E84" s="8">
        <v>770</v>
      </c>
      <c r="F84" s="9">
        <v>24070.23</v>
      </c>
      <c r="G84" s="18"/>
      <c r="H84" s="18" t="str">
        <f t="shared" si="2"/>
        <v/>
      </c>
      <c r="I84" s="19" t="s">
        <v>101</v>
      </c>
    </row>
    <row r="85" spans="2:9" s="1" customFormat="1" x14ac:dyDescent="0.2">
      <c r="B85" s="10" t="s">
        <v>94</v>
      </c>
      <c r="C85" s="10"/>
      <c r="D85" s="10" t="s">
        <v>23</v>
      </c>
      <c r="E85" s="11">
        <v>770</v>
      </c>
      <c r="F85" s="12">
        <v>24070.23</v>
      </c>
      <c r="G85" s="18"/>
      <c r="H85" s="18">
        <f t="shared" si="2"/>
        <v>770</v>
      </c>
      <c r="I85" s="19" t="s">
        <v>101</v>
      </c>
    </row>
    <row r="86" spans="2:9" s="1" customFormat="1" x14ac:dyDescent="0.2"/>
  </sheetData>
  <mergeCells count="5">
    <mergeCell ref="B5:P5"/>
    <mergeCell ref="B6:F6"/>
    <mergeCell ref="E8:F8"/>
    <mergeCell ref="E9:E10"/>
    <mergeCell ref="F9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Serhii Tukhar</cp:lastModifiedBy>
  <dcterms:modified xsi:type="dcterms:W3CDTF">2026-06-17T06:07:23Z</dcterms:modified>
</cp:coreProperties>
</file>